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f2e90018362cd82/Escritorio/W2502 Analisis Economico bomba calor/W2502E3PRO/"/>
    </mc:Choice>
  </mc:AlternateContent>
  <xr:revisionPtr revIDLastSave="1011" documentId="8_{4D91FD50-7452-4F2B-B6C9-0871E4254BC7}" xr6:coauthVersionLast="47" xr6:coauthVersionMax="47" xr10:uidLastSave="{FC4BFC96-C1C0-4238-9ABD-CA5BBE382656}"/>
  <bookViews>
    <workbookView xWindow="-90" yWindow="0" windowWidth="19380" windowHeight="20970" activeTab="1" xr2:uid="{0B50DA56-2F65-45D6-82F7-7E332A4EBDAD}"/>
  </bookViews>
  <sheets>
    <sheet name="Dashboard" sheetId="2" r:id="rId1"/>
    <sheet name="Hoja9" sheetId="9" r:id="rId2"/>
  </sheets>
  <definedNames>
    <definedName name="CAPEX_Total">#REF!</definedName>
    <definedName name="Indice_Rentabilidad">#REF!</definedName>
    <definedName name="OPEX_AhorroAnual">#REF!</definedName>
    <definedName name="OPEX_BombaCalor">#REF!</definedName>
    <definedName name="OPEX_PorcentajeReduccion">#REF!</definedName>
    <definedName name="OPEX_SistemaVapor">#REF!</definedName>
    <definedName name="Payback_AÃ±os">#REF!</definedName>
    <definedName name="TIR_Proyecto">#REF!</definedName>
    <definedName name="VPN_Total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" l="1"/>
  <c r="B32" i="2"/>
  <c r="B31" i="2"/>
  <c r="B30" i="2"/>
  <c r="B22" i="2"/>
  <c r="B21" i="2"/>
  <c r="B15" i="2"/>
  <c r="B14" i="2"/>
  <c r="B13" i="2"/>
  <c r="F8" i="2"/>
  <c r="B8" i="2"/>
  <c r="B7" i="2" l="1"/>
  <c r="F7" i="2"/>
  <c r="B34" i="2" l="1"/>
  <c r="B9" i="2"/>
  <c r="B6" i="2"/>
  <c r="B23" i="2"/>
  <c r="F6" i="2"/>
</calcChain>
</file>

<file path=xl/sharedStrings.xml><?xml version="1.0" encoding="utf-8"?>
<sst xmlns="http://schemas.openxmlformats.org/spreadsheetml/2006/main" count="28" uniqueCount="28">
  <si>
    <t>DASHBOARD EJECUTIVO - BOMBA CALOR TRANSCRÃTICA CO2</t>
  </si>
  <si>
    <t>Proyecto BAXTER S.A. - Planta Cali, Colombia</t>
  </si>
  <si>
    <t>MÃ‰TRICAS FINANCIERAS CLAVE</t>
  </si>
  <si>
    <t>VPN TOTAL (15 aÃ±os):</t>
  </si>
  <si>
    <t>TIR (Tasa Interna Retorno):</t>
  </si>
  <si>
    <t>PERÃODO RECUPERACIÃ“N:</t>
  </si>
  <si>
    <t>ÃNDICE RENTABILIDAD:</t>
  </si>
  <si>
    <t>INDICADORES DE DECISIÃ“N</t>
  </si>
  <si>
    <t>VPN &gt; 0:</t>
  </si>
  <si>
    <t>TIR &gt; 8% (WACC):</t>
  </si>
  <si>
    <t>Payback &lt; 10 aÃ±os:</t>
  </si>
  <si>
    <t>RESUMEN EJECUTIVO</t>
  </si>
  <si>
    <t>INVERSIÃ“N TOTAL (CAPEX):</t>
  </si>
  <si>
    <t>AHORRO ANUAL ESTIMADO:</t>
  </si>
  <si>
    <t>AHORRO TOTAL 15 AÃ‘OS:</t>
  </si>
  <si>
    <t>IR A CAPEX &gt;</t>
  </si>
  <si>
    <t>IR A OPEX &gt;</t>
  </si>
  <si>
    <t>IR A FLUJO CAJA &gt;</t>
  </si>
  <si>
    <t>IR A SENSIBILIDAD &gt;</t>
  </si>
  <si>
    <t>COMPARACIÃ“N FINANCIERA</t>
  </si>
  <si>
    <t>Concepto</t>
  </si>
  <si>
    <t>Monto (USD)</t>
  </si>
  <si>
    <t>InversiÃ³n CAPEX</t>
  </si>
  <si>
    <t>Ahorro 15 aÃ±os</t>
  </si>
  <si>
    <t>VPN Neto</t>
  </si>
  <si>
    <t>EVOLUCIÃ“N FLUJO DE CAJA (15 AÃ‘OS)</t>
  </si>
  <si>
    <t>AÃ±o</t>
  </si>
  <si>
    <t>VPN Acumulado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</si>
</sst>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7" formatCode="&quot;$&quot;#,##0"/>
    <numFmt numFmtId="170" formatCode="0.0&quot; aÃ±os&quot;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8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167" fontId="0" fillId="0" borderId="1" xfId="0" applyNumberFormat="1" applyBorder="1"/>
    <xf numFmtId="0" fontId="1" fillId="0" borderId="1" xfId="0" applyFont="1" applyBorder="1"/>
    <xf numFmtId="0" fontId="5" fillId="2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6" borderId="0" xfId="0" applyFont="1" applyFill="1" applyAlignment="1">
      <alignment horizontal="center"/>
    </xf>
    <xf numFmtId="167" fontId="2" fillId="0" borderId="1" xfId="0" applyNumberFormat="1" applyFont="1" applyBorder="1"/>
    <xf numFmtId="164" fontId="2" fillId="0" borderId="1" xfId="0" applyNumberFormat="1" applyFont="1" applyBorder="1"/>
    <xf numFmtId="170" fontId="2" fillId="0" borderId="1" xfId="0" applyNumberFormat="1" applyFont="1" applyBorder="1"/>
    <xf numFmtId="2" fontId="2" fillId="0" borderId="1" xfId="0" applyNumberFormat="1" applyFont="1" applyBorder="1"/>
    <xf numFmtId="167" fontId="1" fillId="0" borderId="1" xfId="0" applyNumberFormat="1" applyFont="1" applyBorder="1"/>
    <xf numFmtId="0" fontId="6" fillId="7" borderId="1" xfId="1" applyFill="1" applyBorder="1" applyAlignment="1">
      <alignment horizontal="center"/>
    </xf>
    <xf numFmtId="0" fontId="2" fillId="8" borderId="0" xfId="0" applyFont="1" applyFill="1" applyAlignment="1">
      <alignment horizontal="center"/>
    </xf>
  </cellXfs>
  <cellStyles count="2">
    <cellStyle name="Hipervínculo" xfId="1" builtinId="8"/>
    <cellStyle name="Normal" xfId="0" builtinId="0"/>
  </cellStyles>
  <dxfs count="6">
    <dxf>
      <fill>
        <patternFill>
          <bgColor rgb="FFFFB6C1"/>
        </patternFill>
      </fill>
    </dxf>
    <dxf>
      <fill>
        <patternFill>
          <bgColor rgb="FF90EE90"/>
        </patternFill>
      </fill>
    </dxf>
    <dxf>
      <fill>
        <patternFill>
          <bgColor rgb="FFFFB6C1"/>
        </patternFill>
      </fill>
    </dxf>
    <dxf>
      <fill>
        <patternFill>
          <bgColor rgb="FF90EE90"/>
        </patternFill>
      </fill>
    </dxf>
    <dxf>
      <fill>
        <patternFill>
          <bgColor rgb="FFFFB6C1"/>
        </patternFill>
      </fill>
    </dxf>
    <dxf>
      <fill>
        <patternFill>
          <bgColor rgb="FF90EE9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s-CO"/>
              <a:t>CAPEX vs Beneficios (15 aÃ±os)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Dashboard!$B$20</c:f>
              <c:strCache>
                <c:ptCount val="1"/>
                <c:pt idx="0">
                  <c:v>Monto (USD)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FF6363"/>
              </a:solidFill>
            </c:spPr>
            <c:extLst>
              <c:ext xmlns:c16="http://schemas.microsoft.com/office/drawing/2014/chart" uri="{C3380CC4-5D6E-409C-BE32-E72D297353CC}">
                <c16:uniqueId val="{00000003-7983-4FC9-A814-8E60144E58A1}"/>
              </c:ext>
            </c:extLst>
          </c:dPt>
          <c:dPt>
            <c:idx val="1"/>
            <c:invertIfNegative val="0"/>
            <c:bubble3D val="0"/>
            <c:spPr>
              <a:solidFill>
                <a:srgbClr val="63FF63"/>
              </a:solidFill>
            </c:spPr>
            <c:extLst>
              <c:ext xmlns:c16="http://schemas.microsoft.com/office/drawing/2014/chart" uri="{C3380CC4-5D6E-409C-BE32-E72D297353CC}">
                <c16:uniqueId val="{00000004-7983-4FC9-A814-8E60144E58A1}"/>
              </c:ext>
            </c:extLst>
          </c:dPt>
          <c:dPt>
            <c:idx val="2"/>
            <c:invertIfNegative val="0"/>
            <c:bubble3D val="0"/>
            <c:spPr>
              <a:solidFill>
                <a:srgbClr val="6363FF"/>
              </a:solidFill>
            </c:spPr>
            <c:extLst>
              <c:ext xmlns:c16="http://schemas.microsoft.com/office/drawing/2014/chart" uri="{C3380CC4-5D6E-409C-BE32-E72D297353CC}">
                <c16:uniqueId val="{00000005-7983-4FC9-A814-8E60144E58A1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Dashboard!$A$21:$A$23</c:f>
              <c:strCache>
                <c:ptCount val="3"/>
                <c:pt idx="0">
                  <c:v>InversiÃ³n CAPEX</c:v>
                </c:pt>
                <c:pt idx="1">
                  <c:v>Ahorro 15 aÃ±os</c:v>
                </c:pt>
                <c:pt idx="2">
                  <c:v>VPN Neto</c:v>
                </c:pt>
              </c:strCache>
            </c:strRef>
          </c:cat>
          <c:val>
            <c:numRef>
              <c:f>Dashboard!$B$21:$B$23</c:f>
              <c:numCache>
                <c:formatCode>"$"#,##0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83-4FC9-A814-8E60144E58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5305087"/>
        <c:axId val="1715306527"/>
      </c:barChart>
      <c:catAx>
        <c:axId val="1715305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O"/>
          </a:p>
        </c:txPr>
        <c:crossAx val="1715306527"/>
        <c:crosses val="autoZero"/>
        <c:auto val="1"/>
        <c:lblAlgn val="ctr"/>
        <c:lblOffset val="100"/>
        <c:noMultiLvlLbl val="0"/>
      </c:catAx>
      <c:valAx>
        <c:axId val="1715306527"/>
        <c:scaling>
          <c:orientation val="minMax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s-CO"/>
          </a:p>
        </c:txPr>
        <c:crossAx val="1715305087"/>
        <c:crosses val="autoZero"/>
        <c:crossBetween val="between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es-CO"/>
              <a:t>VPN Acumulado por AÃ±o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Dashboard!$A$28</c:f>
              <c:strCache>
                <c:ptCount val="1"/>
                <c:pt idx="0">
                  <c:v>AÃ±o</c:v>
                </c:pt>
              </c:strCache>
            </c:strRef>
          </c:tx>
          <c:spPr>
            <a:ln w="25400">
              <a:solidFill>
                <a:srgbClr val="0064C8"/>
              </a:solidFill>
              <a:prstDash val="solid"/>
            </a:ln>
          </c:spPr>
          <c:marker>
            <c:symbol val="circle"/>
            <c:size val="8"/>
            <c:spPr>
              <a:ln>
                <a:solidFill>
                  <a:srgbClr val="FF0000"/>
                </a:solidFill>
                <a:prstDash val="solid"/>
              </a:ln>
            </c:spPr>
          </c:marker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Dashboard!$A$29:$A$34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71-490E-A7C7-272F5D4601B3}"/>
            </c:ext>
          </c:extLst>
        </c:ser>
        <c:ser>
          <c:idx val="1"/>
          <c:order val="1"/>
          <c:tx>
            <c:strRef>
              <c:f>Dashboard!$B$28</c:f>
              <c:strCache>
                <c:ptCount val="1"/>
                <c:pt idx="0">
                  <c:v>VPN Acumulado</c:v>
                </c:pt>
              </c:strCache>
            </c:strRef>
          </c:tx>
          <c:val>
            <c:numRef>
              <c:f>Dashboard!$B$29:$B$34</c:f>
              <c:numCache>
                <c:formatCode>"$"#,##0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71-490E-A7C7-272F5D460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957567"/>
        <c:axId val="472955167"/>
      </c:lineChart>
      <c:catAx>
        <c:axId val="4729575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s-CO"/>
                  <a:t>AÃ±os</a:t>
                </a:r>
              </a:p>
            </c:rich>
          </c:tx>
          <c:overlay val="0"/>
        </c:title>
        <c:majorTickMark val="out"/>
        <c:minorTickMark val="none"/>
        <c:tickLblPos val="nextTo"/>
        <c:crossAx val="472955167"/>
        <c:crosses val="autoZero"/>
        <c:auto val="1"/>
        <c:lblAlgn val="ctr"/>
        <c:lblOffset val="100"/>
        <c:noMultiLvlLbl val="0"/>
      </c:catAx>
      <c:valAx>
        <c:axId val="472955167"/>
        <c:scaling>
          <c:orientation val="minMax"/>
        </c:scaling>
        <c:delete val="0"/>
        <c:axPos val="l"/>
        <c:majorGridlines>
          <c:spPr>
            <a:ln>
              <a:solidFill>
                <a:srgbClr val="C8C8C8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es-CO"/>
                  <a:t>VPN Acumulado (USD)</a:t>
                </a:r>
              </a:p>
            </c:rich>
          </c:tx>
          <c:overlay val="0"/>
        </c:title>
        <c:numFmt formatCode="&quot;$&quot;#,##0" sourceLinked="0"/>
        <c:majorTickMark val="out"/>
        <c:minorTickMark val="none"/>
        <c:tickLblPos val="nextTo"/>
        <c:crossAx val="472957567"/>
        <c:crosses val="autoZero"/>
        <c:crossBetween val="between"/>
      </c:valAx>
      <c:spPr>
        <a:noFill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17</xdr:row>
      <xdr:rowOff>0</xdr:rowOff>
    </xdr:from>
    <xdr:to>
      <xdr:col>7</xdr:col>
      <xdr:colOff>819150</xdr:colOff>
      <xdr:row>30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E83B7D1-330A-1884-C6E0-6ED9E2E847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25</xdr:row>
      <xdr:rowOff>0</xdr:rowOff>
    </xdr:from>
    <xdr:to>
      <xdr:col>7</xdr:col>
      <xdr:colOff>819150</xdr:colOff>
      <xdr:row>38</xdr:row>
      <xdr:rowOff>95250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47703F3-3850-B34E-91FA-4EDE8EF2C7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08815-AD43-49C8-9D51-AFFDB49B1D93}">
  <sheetPr codeName="Hoja2"/>
  <dimension ref="A1:M34"/>
  <sheetViews>
    <sheetView workbookViewId="0">
      <selection activeCell="A6" sqref="A6"/>
    </sheetView>
  </sheetViews>
  <sheetFormatPr baseColWidth="10" defaultColWidth="12.6328125" defaultRowHeight="14.5" x14ac:dyDescent="0.35"/>
  <cols>
    <col min="1" max="1" width="25.6328125" customWidth="1"/>
    <col min="2" max="2" width="18.6328125" customWidth="1"/>
    <col min="5" max="5" width="20.6328125" customWidth="1"/>
    <col min="6" max="6" width="18.6328125" customWidth="1"/>
    <col min="10" max="10" width="18.6328125" customWidth="1"/>
  </cols>
  <sheetData>
    <row r="1" spans="1:13" ht="26" x14ac:dyDescent="0.6">
      <c r="A1" s="6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18.5" x14ac:dyDescent="0.45">
      <c r="A2" s="7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</row>
    <row r="4" spans="1:13" ht="21" x14ac:dyDescent="0.5">
      <c r="A4" s="8" t="s">
        <v>2</v>
      </c>
      <c r="B4" s="2"/>
      <c r="C4" s="2"/>
      <c r="D4" s="2"/>
      <c r="E4" s="9" t="s">
        <v>7</v>
      </c>
      <c r="F4" s="2"/>
      <c r="G4" s="2"/>
      <c r="H4" s="2"/>
    </row>
    <row r="6" spans="1:13" ht="18.5" x14ac:dyDescent="0.45">
      <c r="A6" s="5" t="s">
        <v>3</v>
      </c>
      <c r="B6" s="11" t="e">
        <f>VPN_Total</f>
        <v>#REF!</v>
      </c>
      <c r="C6" s="3"/>
      <c r="D6" s="3"/>
      <c r="E6" s="5" t="s">
        <v>8</v>
      </c>
      <c r="F6" s="5" t="e">
        <f>IF(VPN_Total&gt;0,"âœ“ VIABLE","âœ— NO VIABLE")</f>
        <v>#REF!</v>
      </c>
      <c r="G6" s="3"/>
      <c r="H6" s="3"/>
      <c r="J6" s="16" t="s">
        <v>15</v>
      </c>
    </row>
    <row r="7" spans="1:13" ht="18.5" x14ac:dyDescent="0.45">
      <c r="A7" s="5" t="s">
        <v>4</v>
      </c>
      <c r="B7" s="12" t="e">
        <f>TIR_Proyecto</f>
        <v>#REF!</v>
      </c>
      <c r="C7" s="3"/>
      <c r="D7" s="3"/>
      <c r="E7" s="5" t="s">
        <v>9</v>
      </c>
      <c r="F7" s="5" t="e">
        <f>IF(TIR_Proyecto&gt;0.08,"âœ“ SUPERA WACC","âœ— BAJO WACC")</f>
        <v>#REF!</v>
      </c>
      <c r="G7" s="3"/>
      <c r="H7" s="3"/>
      <c r="J7" s="16" t="s">
        <v>16</v>
      </c>
    </row>
    <row r="8" spans="1:13" ht="18.5" x14ac:dyDescent="0.45">
      <c r="A8" s="5" t="s">
        <v>5</v>
      </c>
      <c r="B8" s="13" t="e">
        <f>Payback_AÃ±os</f>
        <v>#REF!</v>
      </c>
      <c r="C8" s="3"/>
      <c r="D8" s="3"/>
      <c r="E8" s="5" t="s">
        <v>10</v>
      </c>
      <c r="F8" s="5" t="e">
        <f>IF(Payback_AÃ±os&lt;10,"âœ“ ACEPTABLE","âœ— MUY LARGO")</f>
        <v>#REF!</v>
      </c>
      <c r="G8" s="3"/>
      <c r="H8" s="3"/>
      <c r="J8" s="16" t="s">
        <v>17</v>
      </c>
    </row>
    <row r="9" spans="1:13" ht="18.5" x14ac:dyDescent="0.45">
      <c r="A9" s="5" t="s">
        <v>6</v>
      </c>
      <c r="B9" s="14" t="e">
        <f>Indice_Rentabilidad</f>
        <v>#REF!</v>
      </c>
      <c r="C9" s="3"/>
      <c r="D9" s="3"/>
      <c r="E9" s="3"/>
      <c r="F9" s="3"/>
      <c r="G9" s="3"/>
      <c r="H9" s="3"/>
      <c r="J9" s="16" t="s">
        <v>18</v>
      </c>
    </row>
    <row r="11" spans="1:13" ht="21" x14ac:dyDescent="0.5">
      <c r="A11" s="10" t="s">
        <v>11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3" spans="1:13" x14ac:dyDescent="0.35">
      <c r="A13" s="5" t="s">
        <v>12</v>
      </c>
      <c r="B13" s="15" t="e">
        <f>CAPEX_Total</f>
        <v>#REF!</v>
      </c>
      <c r="C13" s="3"/>
      <c r="D13" s="3"/>
    </row>
    <row r="14" spans="1:13" x14ac:dyDescent="0.35">
      <c r="A14" s="5" t="s">
        <v>13</v>
      </c>
      <c r="B14" s="15" t="e">
        <f>OPEX_AhorroAnual</f>
        <v>#REF!</v>
      </c>
      <c r="C14" s="3"/>
      <c r="D14" s="3"/>
    </row>
    <row r="15" spans="1:13" x14ac:dyDescent="0.35">
      <c r="A15" s="5" t="s">
        <v>14</v>
      </c>
      <c r="B15" s="15" t="e">
        <f>OPEX_AhorroAnual*15*1.05^7.5</f>
        <v>#REF!</v>
      </c>
      <c r="C15" s="3"/>
      <c r="D15" s="3"/>
    </row>
    <row r="18" spans="1:4" ht="18.5" x14ac:dyDescent="0.45">
      <c r="A18" s="17" t="s">
        <v>19</v>
      </c>
      <c r="B18" s="2"/>
      <c r="C18" s="2"/>
      <c r="D18" s="2"/>
    </row>
    <row r="20" spans="1:4" x14ac:dyDescent="0.35">
      <c r="A20" s="5" t="s">
        <v>20</v>
      </c>
      <c r="B20" s="5" t="s">
        <v>21</v>
      </c>
    </row>
    <row r="21" spans="1:4" x14ac:dyDescent="0.35">
      <c r="A21" s="3" t="s">
        <v>22</v>
      </c>
      <c r="B21" s="4" t="e">
        <f>CAPEX_Total</f>
        <v>#REF!</v>
      </c>
    </row>
    <row r="22" spans="1:4" x14ac:dyDescent="0.35">
      <c r="A22" s="3" t="s">
        <v>23</v>
      </c>
      <c r="B22" s="4" t="e">
        <f>OPEX_AhorroAnual*15*1.05^7.5</f>
        <v>#REF!</v>
      </c>
    </row>
    <row r="23" spans="1:4" x14ac:dyDescent="0.35">
      <c r="A23" s="3" t="s">
        <v>24</v>
      </c>
      <c r="B23" s="4" t="e">
        <f>VPN_Total</f>
        <v>#REF!</v>
      </c>
    </row>
    <row r="26" spans="1:4" ht="18.5" x14ac:dyDescent="0.45">
      <c r="A26" s="1" t="s">
        <v>25</v>
      </c>
      <c r="B26" s="2"/>
      <c r="C26" s="2"/>
      <c r="D26" s="2"/>
    </row>
    <row r="28" spans="1:4" x14ac:dyDescent="0.35">
      <c r="A28" s="5" t="s">
        <v>26</v>
      </c>
      <c r="B28" s="5" t="s">
        <v>27</v>
      </c>
    </row>
    <row r="29" spans="1:4" x14ac:dyDescent="0.35">
      <c r="A29" s="3">
        <v>0</v>
      </c>
      <c r="B29" s="4">
        <v>0</v>
      </c>
    </row>
    <row r="30" spans="1:4" x14ac:dyDescent="0.35">
      <c r="A30" s="3">
        <v>3</v>
      </c>
      <c r="B30" s="4" t="e">
        <f>INDEX(Flujo_Caja.G:(G),7)</f>
        <v>#NAME?</v>
      </c>
    </row>
    <row r="31" spans="1:4" x14ac:dyDescent="0.35">
      <c r="A31" s="3">
        <v>6</v>
      </c>
      <c r="B31" s="4" t="e">
        <f>INDEX(Flujo_Caja.G:(G),10)</f>
        <v>#NAME?</v>
      </c>
    </row>
    <row r="32" spans="1:4" x14ac:dyDescent="0.35">
      <c r="A32" s="3">
        <v>9</v>
      </c>
      <c r="B32" s="4" t="e">
        <f>INDEX(Flujo_Caja.G:(G),13)</f>
        <v>#NAME?</v>
      </c>
    </row>
    <row r="33" spans="1:2" x14ac:dyDescent="0.35">
      <c r="A33" s="3">
        <v>12</v>
      </c>
      <c r="B33" s="4" t="e">
        <f>INDEX(Flujo_Caja.G:(G),16)</f>
        <v>#NAME?</v>
      </c>
    </row>
    <row r="34" spans="1:2" x14ac:dyDescent="0.35">
      <c r="A34" s="3">
        <v>15</v>
      </c>
      <c r="B34" s="4" t="e">
        <f>VPN_Total</f>
        <v>#REF!</v>
      </c>
    </row>
  </sheetData>
  <mergeCells count="7">
    <mergeCell ref="A26:D26"/>
    <mergeCell ref="A1:M1"/>
    <mergeCell ref="A2:M2"/>
    <mergeCell ref="A4:D4"/>
    <mergeCell ref="E4:H4"/>
    <mergeCell ref="A11:M11"/>
    <mergeCell ref="A18:D18"/>
  </mergeCells>
  <conditionalFormatting sqref="F6">
    <cfRule type="containsText" dxfId="5" priority="1" stopIfTrue="1" operator="containsText" text="âœ“">
      <formula>NOT(ISERROR(SEARCH("âœ“",F6)))</formula>
    </cfRule>
    <cfRule type="containsText" dxfId="4" priority="2" stopIfTrue="1" operator="containsText" text="âœ—">
      <formula>NOT(ISERROR(SEARCH("âœ—",F6)))</formula>
    </cfRule>
  </conditionalFormatting>
  <conditionalFormatting sqref="F7">
    <cfRule type="containsText" dxfId="3" priority="3" stopIfTrue="1" operator="containsText" text="âœ“">
      <formula>NOT(ISERROR(SEARCH("âœ“",F7)))</formula>
    </cfRule>
    <cfRule type="containsText" dxfId="2" priority="4" stopIfTrue="1" operator="containsText" text="âœ—">
      <formula>NOT(ISERROR(SEARCH("âœ—",F7)))</formula>
    </cfRule>
  </conditionalFormatting>
  <conditionalFormatting sqref="F8">
    <cfRule type="containsText" dxfId="1" priority="5" stopIfTrue="1" operator="containsText" text="âœ“">
      <formula>NOT(ISERROR(SEARCH("âœ“",F8)))</formula>
    </cfRule>
    <cfRule type="containsText" dxfId="0" priority="6" stopIfTrue="1" operator="containsText" text="âœ—">
      <formula>NOT(ISERROR(SEARCH("âœ—",F8)))</formula>
    </cfRule>
  </conditionalFormatting>
  <hyperlinks>
    <hyperlink ref="J6" location="CAPEX!A1" display="IR A CAPEX &gt;" xr:uid="{CF63FD41-ABD3-4D34-8D65-CBB833624ECF}"/>
    <hyperlink ref="J7" location="OPEX!A1" display="IR A OPEX &gt;" xr:uid="{54DA149F-87D1-4157-953D-2ADC86AAB557}"/>
    <hyperlink ref="J8" location="Flujo_Caja!A1" display="IR A FLUJO CAJA &gt;" xr:uid="{36AD6240-B6DF-477B-AC36-3093FDD23490}"/>
    <hyperlink ref="J9" location="Sensibilidad!A1" display="IR A SENSIBILIDAD &gt;" xr:uid="{EB40EBB3-8245-4D7B-B380-269122A48CFA}"/>
  </hyperlinks>
  <pageMargins left="0.7" right="0.7" top="0.75" bottom="0.75" header="0.3" footer="0.3"/>
  <pageSetup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23452-9FAC-4484-9532-F4FF250CD8F3}">
  <dimension ref="A1"/>
  <sheetViews>
    <sheetView tabSelected="1" workbookViewId="0">
      <selection activeCell="H9" sqref="H9"/>
    </sheetView>
  </sheetViews>
  <sheetFormatPr baseColWidth="10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Dashboard</vt:lpstr>
      <vt:lpstr>Hoja9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JAG DESIGN</dc:creator>
  <cp:lastModifiedBy>JAG DESIGN</cp:lastModifiedBy>
  <dcterms:created xsi:type="dcterms:W3CDTF">2025-07-20T22:54:11Z</dcterms:created>
  <dcterms:modified xsi:type="dcterms:W3CDTF">2025-07-20T23:03:05Z</dcterms:modified>
</cp:coreProperties>
</file>